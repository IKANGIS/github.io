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2E9AE5E4-23D9-431F-B346-5BD41A999FCE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1" i="1"/>
  <c r="S15" i="1" s="1"/>
  <c r="J44" i="1"/>
  <c r="E44" i="1"/>
  <c r="S14" i="1" l="1"/>
  <c r="S16" i="1" s="1"/>
</calcChain>
</file>

<file path=xl/sharedStrings.xml><?xml version="1.0" encoding="utf-8"?>
<sst xmlns="http://schemas.openxmlformats.org/spreadsheetml/2006/main" count="133" uniqueCount="118">
  <si>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</si>
  <si>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</si>
  <si>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</si>
  <si>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</si>
  <si>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</si>
  <si>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</si>
  <si>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</si>
  <si>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</si>
  <si>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</si>
  <si>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</si>
  <si>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</si>
  <si>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</si>
  <si>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</si>
  <si>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</si>
  <si>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</si>
  <si>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</si>
  <si>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</si>
  <si>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</si>
  <si>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</si>
  <si>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</si>
  <si>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</si>
  <si>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</si>
  <si>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</si>
  <si>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</si>
  <si>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</si>
  <si>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</si>
  <si>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</si>
  <si>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</si>
  <si>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</si>
  <si>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</si>
  <si>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</si>
  <si>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</si>
  <si>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</si>
  <si>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</si>
  <si>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</si>
  <si>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</si>
  <si>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</si>
  <si>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</si>
  <si>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</si>
  <si>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</si>
  <si>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</si>
  <si>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</si>
  <si>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</si>
  <si>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</si>
  <si>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</si>
  <si>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</si>
  <si>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</si>
  <si>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</si>
  <si>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</si>
  <si>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</si>
  <si>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</si>
  <si>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</si>
  <si>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</si>
  <si>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</si>
  <si>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</si>
  <si>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</si>
  <si>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</si>
  <si>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</si>
  <si>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</si>
  <si>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</si>
  <si>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</si>
  <si>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</si>
  <si>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</si>
  <si>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</si>
  <si>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</si>
  <si>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</si>
  <si>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</si>
  <si>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</si>
  <si>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</si>
  <si>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</si>
  <si>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</si>
  <si>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</si>
  <si>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</si>
  <si>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</si>
  <si>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</si>
  <si>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</si>
  <si>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</si>
  <si>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</si>
  <si>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</si>
  <si>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</si>
  <si>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</si>
  <si>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</si>
  <si>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</si>
  <si>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</si>
  <si>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</si>
  <si>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</si>
  <si>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</si>
  <si>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</si>
  <si>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</si>
  <si>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</si>
  <si>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</si>
  <si>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</si>
  <si>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</si>
  <si>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</si>
  <si>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</si>
  <si>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</si>
  <si>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</si>
  <si>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</si>
  <si>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</si>
  <si>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</si>
  <si>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</si>
  <si>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</si>
  <si>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</si>
  <si>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</si>
  <si>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</si>
  <si>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</si>
  <si>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</si>
  <si>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</si>
  <si>
    <t>김희덕</t>
    <phoneticPr fontId="8" type="noConversion"/>
  </si>
  <si>
    <t>김종찬</t>
    <phoneticPr fontId="8" type="noConversion"/>
  </si>
  <si>
    <t>박성근</t>
    <phoneticPr fontId="8" type="noConversion"/>
  </si>
  <si>
    <t>이영진</t>
    <phoneticPr fontId="8" type="noConversion"/>
  </si>
  <si>
    <t>김용희</t>
    <phoneticPr fontId="8" type="noConversion"/>
  </si>
  <si>
    <t>김영택</t>
    <phoneticPr fontId="8" type="noConversion"/>
  </si>
  <si>
    <t>공성문</t>
    <phoneticPr fontId="8" type="noConversion"/>
  </si>
  <si>
    <t>김경집</t>
    <phoneticPr fontId="8" type="noConversion"/>
  </si>
  <si>
    <t>김영택</t>
    <phoneticPr fontId="8" type="noConversion"/>
  </si>
  <si>
    <t>이영준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</si>
</sst>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topLeftCell="A7" workbookViewId="0">
      <selection activeCell="T11" sqref="T11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9" t="s">
        <v>16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Z2" s="49"/>
    </row>
    <row r="3" spans="2:30" ht="8.25" customHeight="1" x14ac:dyDescent="0.3"/>
    <row r="4" spans="2:30" ht="20.25" x14ac:dyDescent="0.3">
      <c r="B4" s="74" t="s">
        <v>37</v>
      </c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5" t="s">
        <v>3</v>
      </c>
      <c r="R6" s="66"/>
      <c r="S6" s="66"/>
      <c r="T6" s="67"/>
      <c r="Y6"/>
      <c r="AD6"/>
    </row>
    <row r="7" spans="2:30" ht="16.5" customHeight="1" x14ac:dyDescent="0.3">
      <c r="B7" s="3">
        <v>1</v>
      </c>
      <c r="C7" s="68" t="s">
        <v>15</v>
      </c>
      <c r="D7" s="31" t="s">
        <v>17</v>
      </c>
      <c r="E7" s="32">
        <v>5</v>
      </c>
      <c r="G7" s="3">
        <v>38</v>
      </c>
      <c r="H7" s="68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>
        <v>46303</v>
      </c>
      <c r="R10" s="24" t="s">
        <v>117</v>
      </c>
      <c r="S10" s="28">
        <v>50</v>
      </c>
      <c r="T10" s="30" t="s">
        <v>105</v>
      </c>
      <c r="Y10"/>
      <c r="AD10"/>
    </row>
    <row r="11" spans="2:30" ht="16.5" customHeight="1" thickBot="1" x14ac:dyDescent="0.35">
      <c r="B11" s="3">
        <v>5</v>
      </c>
      <c r="C11" s="57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1150</v>
      </c>
      <c r="T11" s="11"/>
      <c r="Y11"/>
      <c r="AD11"/>
    </row>
    <row r="12" spans="2:30" ht="16.5" customHeight="1" thickTop="1" thickBot="1" x14ac:dyDescent="0.35">
      <c r="B12" s="3">
        <v>6</v>
      </c>
      <c r="C12" s="58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58"/>
      <c r="D13" s="34" t="s">
        <v>21</v>
      </c>
      <c r="E13" s="32">
        <v>5</v>
      </c>
      <c r="G13" s="3">
        <v>44</v>
      </c>
      <c r="H13" s="57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70" t="s">
        <v>9</v>
      </c>
      <c r="R13" s="71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58"/>
      <c r="D14" s="34" t="s">
        <v>22</v>
      </c>
      <c r="E14" s="32">
        <v>5</v>
      </c>
      <c r="G14" s="3">
        <v>45</v>
      </c>
      <c r="H14" s="58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72" t="s">
        <v>7</v>
      </c>
      <c r="R14" s="73"/>
      <c r="S14" s="25">
        <f>E44+J44+O44</f>
        <v>482</v>
      </c>
      <c r="T14" s="15"/>
      <c r="Y14"/>
      <c r="AD14"/>
    </row>
    <row r="15" spans="2:30" ht="16.5" customHeight="1" x14ac:dyDescent="0.3">
      <c r="B15" s="4">
        <v>9</v>
      </c>
      <c r="C15" s="58"/>
      <c r="D15" s="34" t="s">
        <v>23</v>
      </c>
      <c r="E15" s="32">
        <v>5</v>
      </c>
      <c r="G15" s="3">
        <v>46</v>
      </c>
      <c r="H15" s="59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72" t="s">
        <v>10</v>
      </c>
      <c r="R15" s="73"/>
      <c r="S15" s="26">
        <f>S11</f>
        <v>1150</v>
      </c>
      <c r="T15" s="16"/>
      <c r="Y15"/>
      <c r="AD15"/>
    </row>
    <row r="16" spans="2:30" ht="16.5" customHeight="1" thickBot="1" x14ac:dyDescent="0.35">
      <c r="B16" s="3">
        <v>10</v>
      </c>
      <c r="C16" s="59"/>
      <c r="D16" s="34" t="s">
        <v>24</v>
      </c>
      <c r="E16" s="32">
        <v>5</v>
      </c>
      <c r="G16" s="3">
        <v>47</v>
      </c>
      <c r="H16" s="57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63" t="s">
        <v>8</v>
      </c>
      <c r="R16" s="64"/>
      <c r="S16" s="27">
        <f>SUM(S14:S15)</f>
        <v>1632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57">
        <v>46024</v>
      </c>
      <c r="D17" s="34" t="s">
        <v>25</v>
      </c>
      <c r="E17" s="32">
        <v>5</v>
      </c>
      <c r="G17" s="3">
        <v>48</v>
      </c>
      <c r="H17" s="58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58"/>
      <c r="D18" s="34" t="s">
        <v>26</v>
      </c>
      <c r="E18" s="32">
        <v>5</v>
      </c>
      <c r="G18" s="3">
        <v>49</v>
      </c>
      <c r="H18" s="59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58"/>
      <c r="D19" s="34" t="s">
        <v>27</v>
      </c>
      <c r="E19" s="32">
        <v>5</v>
      </c>
      <c r="G19" s="3">
        <v>50</v>
      </c>
      <c r="H19" s="57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58"/>
      <c r="D20" s="35" t="s">
        <v>28</v>
      </c>
      <c r="E20" s="32">
        <v>10</v>
      </c>
      <c r="G20" s="3">
        <v>51</v>
      </c>
      <c r="H20" s="58"/>
      <c r="I20" s="35" t="s">
        <v>67</v>
      </c>
      <c r="J20" s="32">
        <v>5</v>
      </c>
      <c r="L20" s="3">
        <v>88</v>
      </c>
      <c r="M20" s="53">
        <v>46206</v>
      </c>
      <c r="N20" s="35" t="s">
        <v>108</v>
      </c>
      <c r="O20" s="32">
        <v>5</v>
      </c>
      <c r="Y20"/>
      <c r="AD20"/>
    </row>
    <row r="21" spans="2:30" ht="16.5" customHeight="1" x14ac:dyDescent="0.3">
      <c r="B21" s="3">
        <v>15</v>
      </c>
      <c r="C21" s="59"/>
      <c r="D21" s="35" t="s">
        <v>35</v>
      </c>
      <c r="E21" s="32">
        <v>5</v>
      </c>
      <c r="G21" s="3">
        <v>52</v>
      </c>
      <c r="H21" s="59"/>
      <c r="I21" s="35" t="s">
        <v>68</v>
      </c>
      <c r="J21" s="32">
        <v>3</v>
      </c>
      <c r="L21" s="3">
        <v>89</v>
      </c>
      <c r="M21" s="53">
        <v>46209</v>
      </c>
      <c r="N21" s="35" t="s">
        <v>109</v>
      </c>
      <c r="O21" s="32">
        <v>5</v>
      </c>
      <c r="Y21"/>
      <c r="AD21"/>
    </row>
    <row r="22" spans="2:30" ht="16.5" customHeight="1" x14ac:dyDescent="0.3">
      <c r="B22" s="3">
        <v>16</v>
      </c>
      <c r="C22" s="57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>
        <v>46210</v>
      </c>
      <c r="N22" s="35" t="s">
        <v>110</v>
      </c>
      <c r="O22" s="32">
        <v>5</v>
      </c>
      <c r="Y22"/>
      <c r="AD22"/>
    </row>
    <row r="23" spans="2:30" ht="16.5" customHeight="1" x14ac:dyDescent="0.3">
      <c r="B23" s="3">
        <v>17</v>
      </c>
      <c r="C23" s="58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>
        <v>46220</v>
      </c>
      <c r="N23" s="35" t="s">
        <v>111</v>
      </c>
      <c r="O23" s="32">
        <v>5</v>
      </c>
      <c r="V23" s="7"/>
      <c r="Y23"/>
      <c r="AD23"/>
    </row>
    <row r="24" spans="2:30" ht="16.5" customHeight="1" x14ac:dyDescent="0.3">
      <c r="B24" s="3">
        <v>18</v>
      </c>
      <c r="C24" s="58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>
        <v>46223</v>
      </c>
      <c r="N24" s="35" t="s">
        <v>112</v>
      </c>
      <c r="O24" s="32">
        <v>5</v>
      </c>
      <c r="Y24"/>
      <c r="AD24"/>
    </row>
    <row r="25" spans="2:30" ht="16.5" customHeight="1" x14ac:dyDescent="0.3">
      <c r="B25" s="3">
        <v>19</v>
      </c>
      <c r="C25" s="58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>
        <v>46225</v>
      </c>
      <c r="N25" s="35" t="s">
        <v>113</v>
      </c>
      <c r="O25" s="32">
        <v>5</v>
      </c>
      <c r="Y25"/>
      <c r="AD25"/>
    </row>
    <row r="26" spans="2:30" ht="16.5" customHeight="1" x14ac:dyDescent="0.3">
      <c r="B26" s="3">
        <v>20</v>
      </c>
      <c r="C26" s="58"/>
      <c r="D26" s="34" t="s">
        <v>33</v>
      </c>
      <c r="E26" s="32">
        <v>5</v>
      </c>
      <c r="G26" s="3">
        <v>57</v>
      </c>
      <c r="H26" s="57">
        <v>46056</v>
      </c>
      <c r="I26" s="34" t="s">
        <v>75</v>
      </c>
      <c r="J26" s="32">
        <v>5</v>
      </c>
      <c r="L26" s="3">
        <v>94</v>
      </c>
      <c r="M26" s="57">
        <v>46235</v>
      </c>
      <c r="N26" s="34" t="s">
        <v>114</v>
      </c>
      <c r="O26" s="32">
        <v>5</v>
      </c>
      <c r="Y26"/>
      <c r="AD26"/>
    </row>
    <row r="27" spans="2:30" ht="16.5" customHeight="1" x14ac:dyDescent="0.3">
      <c r="B27" s="3">
        <v>21</v>
      </c>
      <c r="C27" s="59"/>
      <c r="D27" s="34" t="s">
        <v>34</v>
      </c>
      <c r="E27" s="36">
        <v>5</v>
      </c>
      <c r="G27" s="3">
        <v>58</v>
      </c>
      <c r="H27" s="58"/>
      <c r="I27" s="34" t="s">
        <v>76</v>
      </c>
      <c r="J27" s="36">
        <v>5</v>
      </c>
      <c r="L27" s="3">
        <v>95</v>
      </c>
      <c r="M27" s="59"/>
      <c r="N27" s="34" t="s">
        <v>115</v>
      </c>
      <c r="O27" s="36">
        <v>5</v>
      </c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>
        <v>46272</v>
      </c>
      <c r="N28" s="34" t="s">
        <v>116</v>
      </c>
      <c r="O28" s="36">
        <v>5</v>
      </c>
      <c r="Y28"/>
      <c r="AD28"/>
    </row>
    <row r="29" spans="2:30" ht="16.5" customHeight="1" x14ac:dyDescent="0.3">
      <c r="B29" s="5">
        <v>23</v>
      </c>
      <c r="C29" s="60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/>
      <c r="N29" s="37"/>
      <c r="O29" s="36"/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/>
      <c r="N30" s="37"/>
      <c r="O30" s="36"/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/>
      <c r="N31" s="37"/>
      <c r="O31" s="36"/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3"/>
      <c r="N32" s="37"/>
      <c r="O32" s="36"/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60">
        <v>46073</v>
      </c>
      <c r="I33" s="34" t="s">
        <v>82</v>
      </c>
      <c r="J33" s="36">
        <v>5</v>
      </c>
      <c r="L33" s="3">
        <v>101</v>
      </c>
      <c r="M33" s="53"/>
      <c r="N33" s="34"/>
      <c r="O33" s="36"/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60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60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110</v>
      </c>
      <c r="P44" s="2"/>
      <c r="U44" s="2"/>
      <c r="Y44"/>
      <c r="AD44"/>
    </row>
    <row r="45" spans="2:30" ht="17.25" thickTop="1" x14ac:dyDescent="0.3"/>
  </sheetData>
  <mergeCells count="21"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  <mergeCell ref="C22:C27"/>
    <mergeCell ref="C29:C35"/>
    <mergeCell ref="C36:C41"/>
    <mergeCell ref="C42:C43"/>
    <mergeCell ref="Q16:R16"/>
    <mergeCell ref="H19:H21"/>
    <mergeCell ref="H26:H27"/>
    <mergeCell ref="H33:H36"/>
    <mergeCell ref="M26:M27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Insung Kang</cp:lastModifiedBy>
  <dcterms:created xsi:type="dcterms:W3CDTF">2024-01-05T10:58:49Z</dcterms:created>
  <dcterms:modified xsi:type="dcterms:W3CDTF">2026-10-07T07:20:23Z</dcterms:modified>
</cp:coreProperties>
</file>