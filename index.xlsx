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angi\Downloads\"/>
    </mc:Choice>
  </mc:AlternateContent>
  <xr:revisionPtr revIDLastSave="0" documentId="13_ncr:1_{3796E446-0A8C-4C62-9BE6-590396F73EDD}" xr6:coauthVersionLast="47" xr6:coauthVersionMax="47" xr10:uidLastSave="{00000000-0000-0000-0000-000000000000}"/>
  <bookViews>
    <workbookView xWindow="-120" yWindow="-120" windowWidth="29040" windowHeight="15720" xr2:uid="{65989A62-DD22-4017-B1F4-9BE3BB514C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44" i="1" l="1"/>
  <c r="S11" i="1"/>
  <c r="S15" i="1" s="1"/>
  <c r="J44" i="1"/>
  <c r="E44" i="1"/>
  <c r="S14" i="1" l="1"/>
  <c r="S16" i="1" s="1"/>
</calcChain>
</file>

<file path=xl/sharedStrings.xml><?xml version="1.0" encoding="utf-8"?>
<sst xmlns="http://schemas.openxmlformats.org/spreadsheetml/2006/main" count="136" uniqueCount="121">
  <si>
    <t>일   자</t>
    <phoneticPr fontId="1" type="noConversion"/>
  </si>
  <si>
    <t>성   명</t>
    <phoneticPr fontId="1" type="noConversion"/>
  </si>
  <si>
    <t>No.</t>
    <phoneticPr fontId="1" type="noConversion"/>
  </si>
  <si>
    <t>특  별  회  비</t>
    <phoneticPr fontId="1" type="noConversion"/>
  </si>
  <si>
    <t>합  계</t>
    <phoneticPr fontId="1" type="noConversion"/>
  </si>
  <si>
    <t>비   고</t>
    <phoneticPr fontId="1" type="noConversion"/>
  </si>
  <si>
    <t>금액</t>
    <phoneticPr fontId="1" type="noConversion"/>
  </si>
  <si>
    <t>연  회  비</t>
    <phoneticPr fontId="1" type="noConversion"/>
  </si>
  <si>
    <t>총      계</t>
    <phoneticPr fontId="1" type="noConversion"/>
  </si>
  <si>
    <t>항     목</t>
    <phoneticPr fontId="1" type="noConversion"/>
  </si>
  <si>
    <t>특 별 회 비</t>
    <phoneticPr fontId="1" type="noConversion"/>
  </si>
  <si>
    <t>발전기금</t>
    <phoneticPr fontId="8" type="noConversion"/>
  </si>
  <si>
    <t>한명섭</t>
    <phoneticPr fontId="1" type="noConversion"/>
  </si>
  <si>
    <t>성  명</t>
    <phoneticPr fontId="1" type="noConversion"/>
  </si>
  <si>
    <t>금  액</t>
    <phoneticPr fontId="1" type="noConversion"/>
  </si>
  <si>
    <t>25년 12월</t>
    <phoneticPr fontId="1" type="noConversion"/>
  </si>
  <si>
    <r>
      <t>2026년도 연회비 납입 현황</t>
    </r>
    <r>
      <rPr>
        <sz val="18"/>
        <color theme="9" tint="-0.249977111117893"/>
        <rFont val="맑은 고딕"/>
        <family val="3"/>
        <charset val="129"/>
        <scheme val="minor"/>
      </rPr>
      <t xml:space="preserve">     </t>
    </r>
    <r>
      <rPr>
        <b/>
        <sz val="14"/>
        <color theme="4"/>
        <rFont val="맑은 고딕"/>
        <family val="3"/>
        <charset val="129"/>
        <scheme val="minor"/>
      </rPr>
      <t>(단위: 만원)</t>
    </r>
    <phoneticPr fontId="1" type="noConversion"/>
  </si>
  <si>
    <t>김인탁</t>
    <phoneticPr fontId="1" type="noConversion"/>
  </si>
  <si>
    <t>이철호</t>
    <phoneticPr fontId="1" type="noConversion"/>
  </si>
  <si>
    <t>남무호</t>
    <phoneticPr fontId="1" type="noConversion"/>
  </si>
  <si>
    <t>김병철</t>
    <phoneticPr fontId="1" type="noConversion"/>
  </si>
  <si>
    <t>이두형</t>
    <phoneticPr fontId="1" type="noConversion"/>
  </si>
  <si>
    <t>오용국</t>
    <phoneticPr fontId="1" type="noConversion"/>
  </si>
  <si>
    <t>노영우</t>
    <phoneticPr fontId="1" type="noConversion"/>
  </si>
  <si>
    <t>홍원규</t>
    <phoneticPr fontId="1" type="noConversion"/>
  </si>
  <si>
    <t>이상규</t>
    <phoneticPr fontId="1" type="noConversion"/>
  </si>
  <si>
    <t>김영기</t>
    <phoneticPr fontId="1" type="noConversion"/>
  </si>
  <si>
    <t>이용석</t>
    <phoneticPr fontId="1" type="noConversion"/>
  </si>
  <si>
    <t>김충회</t>
    <phoneticPr fontId="1" type="noConversion"/>
  </si>
  <si>
    <t>성혁진</t>
    <phoneticPr fontId="1" type="noConversion"/>
  </si>
  <si>
    <t>이재헌</t>
    <phoneticPr fontId="1" type="noConversion"/>
  </si>
  <si>
    <t>남궁준</t>
    <phoneticPr fontId="1" type="noConversion"/>
  </si>
  <si>
    <t>장동환</t>
    <phoneticPr fontId="1" type="noConversion"/>
  </si>
  <si>
    <t>이성원</t>
    <phoneticPr fontId="1" type="noConversion"/>
  </si>
  <si>
    <t>임광빈</t>
    <phoneticPr fontId="1" type="noConversion"/>
  </si>
  <si>
    <t>안 순</t>
    <phoneticPr fontId="1" type="noConversion"/>
  </si>
  <si>
    <t>신유균</t>
    <phoneticPr fontId="1" type="noConversion"/>
  </si>
  <si>
    <t>납입계좌: 국민은행 569802-04-163996 남무호(중앙59동창), 수도권 5만원, 지방 3만원</t>
    <phoneticPr fontId="8" type="noConversion"/>
  </si>
  <si>
    <t>정 은</t>
    <phoneticPr fontId="1" type="noConversion"/>
  </si>
  <si>
    <t>고창영</t>
    <phoneticPr fontId="1" type="noConversion"/>
  </si>
  <si>
    <t>이세영</t>
    <phoneticPr fontId="1" type="noConversion"/>
  </si>
  <si>
    <t>윤창남</t>
    <phoneticPr fontId="1" type="noConversion"/>
  </si>
  <si>
    <t>권대우</t>
    <phoneticPr fontId="1" type="noConversion"/>
  </si>
  <si>
    <t>김병규</t>
    <phoneticPr fontId="1" type="noConversion"/>
  </si>
  <si>
    <t>김문환</t>
    <phoneticPr fontId="1" type="noConversion"/>
  </si>
  <si>
    <t>유가용</t>
    <phoneticPr fontId="1" type="noConversion"/>
  </si>
  <si>
    <t>남승희</t>
    <phoneticPr fontId="1" type="noConversion"/>
  </si>
  <si>
    <t>김현철</t>
    <phoneticPr fontId="1" type="noConversion"/>
  </si>
  <si>
    <t>이효수</t>
    <phoneticPr fontId="1" type="noConversion"/>
  </si>
  <si>
    <t>김대식</t>
    <phoneticPr fontId="1" type="noConversion"/>
  </si>
  <si>
    <t>권오찬</t>
    <phoneticPr fontId="1" type="noConversion"/>
  </si>
  <si>
    <t>여운근</t>
    <phoneticPr fontId="1" type="noConversion"/>
  </si>
  <si>
    <t>이상준</t>
    <phoneticPr fontId="1" type="noConversion"/>
  </si>
  <si>
    <t>윤형기</t>
    <phoneticPr fontId="1" type="noConversion"/>
  </si>
  <si>
    <t>허명권</t>
    <phoneticPr fontId="1" type="noConversion"/>
  </si>
  <si>
    <t>신동익</t>
    <phoneticPr fontId="1" type="noConversion"/>
  </si>
  <si>
    <t>박성건</t>
    <phoneticPr fontId="1" type="noConversion"/>
  </si>
  <si>
    <t>신환철</t>
    <phoneticPr fontId="1" type="noConversion"/>
  </si>
  <si>
    <t>최광식</t>
    <phoneticPr fontId="1" type="noConversion"/>
  </si>
  <si>
    <t>김태웅</t>
    <phoneticPr fontId="1" type="noConversion"/>
  </si>
  <si>
    <t>전종철</t>
    <phoneticPr fontId="1" type="noConversion"/>
  </si>
  <si>
    <t>최규동</t>
    <phoneticPr fontId="1" type="noConversion"/>
  </si>
  <si>
    <t>노문호</t>
    <phoneticPr fontId="1" type="noConversion"/>
  </si>
  <si>
    <t>이상도</t>
    <phoneticPr fontId="1" type="noConversion"/>
  </si>
  <si>
    <t>김한옥</t>
    <phoneticPr fontId="1" type="noConversion"/>
  </si>
  <si>
    <t>김일수</t>
    <phoneticPr fontId="1" type="noConversion"/>
  </si>
  <si>
    <t>김지수</t>
    <phoneticPr fontId="1" type="noConversion"/>
  </si>
  <si>
    <t>김자윤</t>
    <phoneticPr fontId="1" type="noConversion"/>
  </si>
  <si>
    <t>권오봉</t>
    <phoneticPr fontId="1" type="noConversion"/>
  </si>
  <si>
    <t>소  계</t>
    <phoneticPr fontId="1" type="noConversion"/>
  </si>
  <si>
    <t>(단위: 만원)</t>
    <phoneticPr fontId="1" type="noConversion"/>
  </si>
  <si>
    <t>최원효</t>
    <phoneticPr fontId="1" type="noConversion"/>
  </si>
  <si>
    <t>이정복</t>
    <phoneticPr fontId="1" type="noConversion"/>
  </si>
  <si>
    <t>김창남</t>
    <phoneticPr fontId="1" type="noConversion"/>
  </si>
  <si>
    <t>장성범</t>
    <phoneticPr fontId="1" type="noConversion"/>
  </si>
  <si>
    <t>한순현</t>
    <phoneticPr fontId="1" type="noConversion"/>
  </si>
  <si>
    <t>어수용</t>
    <phoneticPr fontId="1" type="noConversion"/>
  </si>
  <si>
    <t>유중식</t>
    <phoneticPr fontId="1" type="noConversion"/>
  </si>
  <si>
    <t>윤태순</t>
    <phoneticPr fontId="1" type="noConversion"/>
  </si>
  <si>
    <t>임석준</t>
    <phoneticPr fontId="1" type="noConversion"/>
  </si>
  <si>
    <t>고명수</t>
    <phoneticPr fontId="1" type="noConversion"/>
  </si>
  <si>
    <t>장우석</t>
    <phoneticPr fontId="1" type="noConversion"/>
  </si>
  <si>
    <t>강기서</t>
    <phoneticPr fontId="1" type="noConversion"/>
  </si>
  <si>
    <t>김태균</t>
    <phoneticPr fontId="1" type="noConversion"/>
  </si>
  <si>
    <t>오준환</t>
    <phoneticPr fontId="1" type="noConversion"/>
  </si>
  <si>
    <t>고광윤</t>
    <phoneticPr fontId="1" type="noConversion"/>
  </si>
  <si>
    <t>노승관</t>
    <phoneticPr fontId="1" type="noConversion"/>
  </si>
  <si>
    <t>사성헌</t>
    <phoneticPr fontId="1" type="noConversion"/>
  </si>
  <si>
    <t>마흥태</t>
    <phoneticPr fontId="1" type="noConversion"/>
  </si>
  <si>
    <t>민경식</t>
    <phoneticPr fontId="1" type="noConversion"/>
  </si>
  <si>
    <t>노경태</t>
    <phoneticPr fontId="1" type="noConversion"/>
  </si>
  <si>
    <t>김낙영</t>
    <phoneticPr fontId="1" type="noConversion"/>
  </si>
  <si>
    <t>이진구</t>
    <phoneticPr fontId="1" type="noConversion"/>
  </si>
  <si>
    <t>이계판</t>
    <phoneticPr fontId="1" type="noConversion"/>
  </si>
  <si>
    <t>윤석우</t>
    <phoneticPr fontId="1" type="noConversion"/>
  </si>
  <si>
    <t>김진수</t>
    <phoneticPr fontId="1" type="noConversion"/>
  </si>
  <si>
    <t>최상면</t>
    <phoneticPr fontId="8" type="noConversion"/>
  </si>
  <si>
    <t>신기완</t>
    <phoneticPr fontId="8" type="noConversion"/>
  </si>
  <si>
    <t>최병승</t>
    <phoneticPr fontId="8" type="noConversion"/>
  </si>
  <si>
    <t>유기현</t>
    <phoneticPr fontId="8" type="noConversion"/>
  </si>
  <si>
    <t>서성원</t>
    <phoneticPr fontId="8" type="noConversion"/>
  </si>
  <si>
    <t>황덕하</t>
    <phoneticPr fontId="8" type="noConversion"/>
  </si>
  <si>
    <t>이원석</t>
    <phoneticPr fontId="8" type="noConversion"/>
  </si>
  <si>
    <t>임봉석</t>
    <phoneticPr fontId="8" type="noConversion"/>
  </si>
  <si>
    <t>남무호</t>
    <phoneticPr fontId="8" type="noConversion"/>
  </si>
  <si>
    <t>특별회비</t>
    <phoneticPr fontId="8" type="noConversion"/>
  </si>
  <si>
    <t>임승빈</t>
    <phoneticPr fontId="8" type="noConversion"/>
  </si>
  <si>
    <t>이인길</t>
    <phoneticPr fontId="8" type="noConversion"/>
  </si>
  <si>
    <t>김희덕</t>
    <phoneticPr fontId="8" type="noConversion"/>
  </si>
  <si>
    <t>김종찬</t>
    <phoneticPr fontId="8" type="noConversion"/>
  </si>
  <si>
    <t>박성근</t>
    <phoneticPr fontId="8" type="noConversion"/>
  </si>
  <si>
    <t>이영진</t>
    <phoneticPr fontId="8" type="noConversion"/>
  </si>
  <si>
    <t>김용희</t>
    <phoneticPr fontId="8" type="noConversion"/>
  </si>
  <si>
    <t>김영택</t>
    <phoneticPr fontId="8" type="noConversion"/>
  </si>
  <si>
    <t>공성문</t>
    <phoneticPr fontId="8" type="noConversion"/>
  </si>
  <si>
    <t>김경집</t>
    <phoneticPr fontId="8" type="noConversion"/>
  </si>
  <si>
    <t>이영준</t>
    <phoneticPr fontId="8" type="noConversion"/>
  </si>
  <si>
    <t>임국남</t>
    <phoneticPr fontId="8" type="noConversion"/>
  </si>
  <si>
    <t>김주동</t>
    <phoneticPr fontId="8" type="noConversion"/>
  </si>
  <si>
    <t>문만종</t>
    <phoneticPr fontId="8" type="noConversion"/>
  </si>
  <si>
    <t>육광열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</si>
</sst>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mm&quot;월&quot;\ dd&quot;일&quot;"/>
    <numFmt numFmtId="177" formatCode="#,##0_ "/>
  </numFmts>
  <fonts count="1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4"/>
      <color theme="1"/>
      <name val="맑은 고딕"/>
      <family val="3"/>
      <charset val="129"/>
      <scheme val="minor"/>
    </font>
    <font>
      <u/>
      <sz val="18"/>
      <color theme="9" tint="-0.249977111117893"/>
      <name val="맑은 고딕"/>
      <family val="3"/>
      <charset val="129"/>
      <scheme val="minor"/>
    </font>
    <font>
      <sz val="14"/>
      <color theme="9" tint="-0.499984740745262"/>
      <name val="문체부 훈민정음체"/>
      <family val="1"/>
      <charset val="129"/>
    </font>
    <font>
      <sz val="11"/>
      <color rgb="FF000000"/>
      <name val="맑은 고딕"/>
      <family val="2"/>
      <charset val="129"/>
    </font>
    <font>
      <sz val="8"/>
      <name val="돋움체"/>
      <family val="3"/>
      <charset val="129"/>
    </font>
    <font>
      <sz val="11"/>
      <color rgb="FF000000"/>
      <name val="맑은 고딕"/>
      <family val="3"/>
      <charset val="129"/>
    </font>
    <font>
      <b/>
      <sz val="14"/>
      <color rgb="FF203864"/>
      <name val="맑은 고딕"/>
      <family val="2"/>
      <charset val="129"/>
    </font>
    <font>
      <sz val="18"/>
      <color theme="9" tint="-0.249977111117893"/>
      <name val="맑은 고딕"/>
      <family val="3"/>
      <charset val="129"/>
      <scheme val="minor"/>
    </font>
    <font>
      <b/>
      <sz val="14"/>
      <color theme="4"/>
      <name val="맑은 고딕"/>
      <family val="3"/>
      <charset val="129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medium">
        <color rgb="FF002060"/>
      </left>
      <right style="thin">
        <color rgb="FF002060"/>
      </right>
      <top/>
      <bottom/>
      <diagonal/>
    </border>
    <border>
      <left style="thin">
        <color rgb="FF002060"/>
      </left>
      <right style="thin">
        <color rgb="FF002060"/>
      </right>
      <top/>
      <bottom/>
      <diagonal/>
    </border>
    <border>
      <left style="medium">
        <color rgb="FF002060"/>
      </left>
      <right style="thin">
        <color rgb="FF002060"/>
      </right>
      <top/>
      <bottom style="medium">
        <color rgb="FF002060"/>
      </bottom>
      <diagonal/>
    </border>
    <border>
      <left style="medium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thin">
        <color rgb="FF002060"/>
      </right>
      <top/>
      <bottom style="thin">
        <color rgb="FF002060"/>
      </bottom>
      <diagonal/>
    </border>
    <border>
      <left style="thin">
        <color rgb="FF002060"/>
      </left>
      <right style="medium">
        <color rgb="FF002060"/>
      </right>
      <top/>
      <bottom style="thin">
        <color rgb="FF002060"/>
      </bottom>
      <diagonal/>
    </border>
    <border>
      <left style="medium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thin">
        <color rgb="FF002060"/>
      </top>
      <bottom/>
      <diagonal/>
    </border>
    <border>
      <left style="medium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ck">
        <color rgb="FF002060"/>
      </bottom>
      <diagonal/>
    </border>
    <border>
      <left style="thin">
        <color rgb="FF002060"/>
      </left>
      <right style="thick">
        <color rgb="FF002060"/>
      </right>
      <top style="thin">
        <color rgb="FF002060"/>
      </top>
      <bottom style="thick">
        <color rgb="FF002060"/>
      </bottom>
      <diagonal/>
    </border>
    <border>
      <left style="thick">
        <color rgb="FF002060"/>
      </left>
      <right/>
      <top style="thick">
        <color rgb="FF002060"/>
      </top>
      <bottom style="thin">
        <color rgb="FF002060"/>
      </bottom>
      <diagonal/>
    </border>
    <border>
      <left/>
      <right/>
      <top style="thick">
        <color rgb="FF002060"/>
      </top>
      <bottom style="thin">
        <color rgb="FF002060"/>
      </bottom>
      <diagonal/>
    </border>
    <border>
      <left/>
      <right style="thick">
        <color rgb="FF002060"/>
      </right>
      <top style="thick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 style="thick">
        <color rgb="FF002060"/>
      </bottom>
      <diagonal/>
    </border>
    <border>
      <left style="thin">
        <color theme="4" tint="-0.499984740745262"/>
      </left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n">
        <color theme="4" tint="-0.499984740745262"/>
      </left>
      <right style="thin">
        <color theme="4" tint="-0.499984740745262"/>
      </right>
      <top/>
      <bottom style="thin">
        <color theme="4" tint="-0.499984740745262"/>
      </bottom>
      <diagonal/>
    </border>
    <border>
      <left style="thin">
        <color theme="4" tint="-0.499984740745262"/>
      </left>
      <right style="thick">
        <color theme="4" tint="-0.499984740745262"/>
      </right>
      <top/>
      <bottom style="thin">
        <color theme="4" tint="-0.499984740745262"/>
      </bottom>
      <diagonal/>
    </border>
    <border>
      <left style="thick">
        <color theme="4" tint="-0.499984740745262"/>
      </left>
      <right/>
      <top style="thick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ck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n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n">
        <color theme="4" tint="-0.499984740745262"/>
      </bottom>
      <diagonal/>
    </border>
    <border>
      <left style="thick">
        <color theme="4" tint="-0.499984740745262"/>
      </left>
      <right/>
      <top style="thin">
        <color theme="4" tint="-0.499984740745262"/>
      </top>
      <bottom style="thick">
        <color theme="4" tint="-0.499984740745262"/>
      </bottom>
      <diagonal/>
    </border>
    <border>
      <left/>
      <right style="thin">
        <color theme="4" tint="-0.499984740745262"/>
      </right>
      <top style="thin">
        <color theme="4" tint="-0.499984740745262"/>
      </top>
      <bottom style="thick">
        <color theme="4" tint="-0.499984740745262"/>
      </bottom>
      <diagonal/>
    </border>
    <border>
      <left style="thick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/>
      <top style="medium">
        <color rgb="FF002060"/>
      </top>
      <bottom style="medium">
        <color rgb="FF002060"/>
      </bottom>
      <diagonal/>
    </border>
    <border>
      <left style="thin">
        <color rgb="FF002060"/>
      </left>
      <right/>
      <top/>
      <bottom style="thin">
        <color rgb="FF002060"/>
      </bottom>
      <diagonal/>
    </border>
    <border>
      <left style="thin">
        <color rgb="FF002060"/>
      </left>
      <right/>
      <top style="thin">
        <color rgb="FF002060"/>
      </top>
      <bottom/>
      <diagonal/>
    </border>
    <border>
      <left style="thin">
        <color rgb="FF002060"/>
      </left>
      <right/>
      <top style="medium">
        <color rgb="FF002060"/>
      </top>
      <bottom style="thick">
        <color rgb="FF002060"/>
      </bottom>
      <diagonal/>
    </border>
    <border>
      <left style="thin">
        <color rgb="FF002060"/>
      </left>
      <right style="medium">
        <color rgb="FF002060"/>
      </right>
      <top style="thin">
        <color rgb="FF002060"/>
      </top>
      <bottom style="thin">
        <color rgb="FF002060"/>
      </bottom>
      <diagonal/>
    </border>
    <border>
      <left style="thick">
        <color rgb="FF002060"/>
      </left>
      <right style="thin">
        <color rgb="FF002060"/>
      </right>
      <top style="thin">
        <color rgb="FF002060"/>
      </top>
      <bottom/>
      <diagonal/>
    </border>
    <border>
      <left style="thin">
        <color rgb="FF002060"/>
      </left>
      <right style="thick">
        <color rgb="FF002060"/>
      </right>
      <top style="thin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/>
      <diagonal/>
    </border>
    <border>
      <left style="thin">
        <color rgb="FF002060"/>
      </left>
      <right style="thin">
        <color rgb="FF002060"/>
      </right>
      <top style="medium">
        <color rgb="FF002060"/>
      </top>
      <bottom style="thin">
        <color rgb="FF002060"/>
      </bottom>
      <diagonal/>
    </border>
  </borders>
  <cellStyleXfs count="1">
    <xf numFmtId="0" fontId="0" fillId="0" borderId="0">
      <alignment vertical="center"/>
    </xf>
  </cellStyleXfs>
  <cellXfs count="75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3" fillId="5" borderId="9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0" borderId="0" xfId="0" applyAlignment="1"/>
    <xf numFmtId="0" fontId="3" fillId="7" borderId="10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0" fillId="3" borderId="30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2" borderId="23" xfId="0" applyFill="1" applyBorder="1" applyAlignment="1">
      <alignment horizontal="center" vertical="center"/>
    </xf>
    <xf numFmtId="0" fontId="0" fillId="2" borderId="24" xfId="0" applyFill="1" applyBorder="1" applyAlignment="1">
      <alignment horizontal="center" vertical="center"/>
    </xf>
    <xf numFmtId="0" fontId="2" fillId="4" borderId="37" xfId="0" applyFont="1" applyFill="1" applyBorder="1" applyAlignment="1">
      <alignment horizontal="center" vertical="center"/>
    </xf>
    <xf numFmtId="0" fontId="3" fillId="7" borderId="40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 vertical="center"/>
    </xf>
    <xf numFmtId="176" fontId="0" fillId="7" borderId="45" xfId="0" applyNumberFormat="1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177" fontId="0" fillId="3" borderId="29" xfId="0" applyNumberFormat="1" applyFill="1" applyBorder="1" applyAlignment="1">
      <alignment horizontal="right" vertical="center" indent="1"/>
    </xf>
    <xf numFmtId="177" fontId="0" fillId="3" borderId="25" xfId="0" applyNumberFormat="1" applyFill="1" applyBorder="1" applyAlignment="1">
      <alignment horizontal="right" vertical="center" indent="1"/>
    </xf>
    <xf numFmtId="177" fontId="0" fillId="3" borderId="27" xfId="0" applyNumberFormat="1" applyFill="1" applyBorder="1" applyAlignment="1">
      <alignment horizontal="right" vertical="center" indent="1"/>
    </xf>
    <xf numFmtId="177" fontId="0" fillId="7" borderId="42" xfId="0" applyNumberFormat="1" applyFill="1" applyBorder="1" applyAlignment="1">
      <alignment horizontal="right" vertical="center" indent="1"/>
    </xf>
    <xf numFmtId="177" fontId="0" fillId="7" borderId="22" xfId="0" applyNumberFormat="1" applyFill="1" applyBorder="1" applyAlignment="1">
      <alignment horizontal="right" vertical="center" indent="1"/>
    </xf>
    <xf numFmtId="0" fontId="0" fillId="7" borderId="46" xfId="0" applyFill="1" applyBorder="1" applyAlignment="1">
      <alignment horizontal="center" vertical="center"/>
    </xf>
    <xf numFmtId="0" fontId="7" fillId="11" borderId="41" xfId="0" applyFont="1" applyFill="1" applyBorder="1" applyAlignment="1">
      <alignment horizontal="center" vertical="center"/>
    </xf>
    <xf numFmtId="0" fontId="0" fillId="11" borderId="6" xfId="0" applyFill="1" applyBorder="1" applyAlignment="1">
      <alignment horizontal="center" vertical="center"/>
    </xf>
    <xf numFmtId="176" fontId="7" fillId="11" borderId="13" xfId="0" applyNumberFormat="1" applyFont="1" applyFill="1" applyBorder="1" applyAlignment="1">
      <alignment horizontal="center" vertical="center"/>
    </xf>
    <xf numFmtId="0" fontId="7" fillId="11" borderId="13" xfId="0" applyFont="1" applyFill="1" applyBorder="1" applyAlignment="1">
      <alignment horizontal="center" vertical="center"/>
    </xf>
    <xf numFmtId="0" fontId="7" fillId="11" borderId="21" xfId="0" applyFont="1" applyFill="1" applyBorder="1" applyAlignment="1">
      <alignment horizontal="center" vertical="center"/>
    </xf>
    <xf numFmtId="0" fontId="0" fillId="11" borderId="44" xfId="0" applyFill="1" applyBorder="1" applyAlignment="1">
      <alignment horizontal="center" vertical="center"/>
    </xf>
    <xf numFmtId="0" fontId="9" fillId="11" borderId="13" xfId="0" applyFont="1" applyFill="1" applyBorder="1" applyAlignment="1">
      <alignment horizontal="center" vertical="center"/>
    </xf>
    <xf numFmtId="176" fontId="0" fillId="10" borderId="38" xfId="0" applyNumberFormat="1" applyFill="1" applyBorder="1" applyAlignment="1">
      <alignment horizontal="center" vertical="center"/>
    </xf>
    <xf numFmtId="0" fontId="0" fillId="11" borderId="43" xfId="0" applyFill="1" applyBorder="1" applyAlignment="1">
      <alignment horizontal="center" vertical="center"/>
    </xf>
    <xf numFmtId="0" fontId="0" fillId="11" borderId="39" xfId="0" applyFill="1" applyBorder="1" applyAlignment="1">
      <alignment horizontal="center" vertical="center"/>
    </xf>
    <xf numFmtId="0" fontId="9" fillId="11" borderId="21" xfId="0" applyFont="1" applyFill="1" applyBorder="1" applyAlignment="1">
      <alignment horizontal="center" vertical="center"/>
    </xf>
    <xf numFmtId="176" fontId="7" fillId="12" borderId="12" xfId="0" applyNumberFormat="1" applyFont="1" applyFill="1" applyBorder="1" applyAlignment="1">
      <alignment horizontal="center" vertical="center"/>
    </xf>
    <xf numFmtId="0" fontId="7" fillId="12" borderId="13" xfId="0" applyFont="1" applyFill="1" applyBorder="1" applyAlignment="1">
      <alignment horizontal="center" vertical="center"/>
    </xf>
    <xf numFmtId="177" fontId="0" fillId="12" borderId="21" xfId="0" applyNumberFormat="1" applyFill="1" applyBorder="1" applyAlignment="1">
      <alignment horizontal="right" vertical="center" indent="1"/>
    </xf>
    <xf numFmtId="0" fontId="7" fillId="12" borderId="14" xfId="0" applyFont="1" applyFill="1" applyBorder="1" applyAlignment="1">
      <alignment horizontal="center" vertical="center"/>
    </xf>
    <xf numFmtId="176" fontId="0" fillId="12" borderId="12" xfId="0" applyNumberForma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0" fontId="0" fillId="12" borderId="13" xfId="0" applyFill="1" applyBorder="1" applyAlignment="1">
      <alignment horizontal="center" vertical="center"/>
    </xf>
    <xf numFmtId="176" fontId="0" fillId="10" borderId="13" xfId="0" applyNumberFormat="1" applyFill="1" applyBorder="1">
      <alignment vertical="center"/>
    </xf>
    <xf numFmtId="0" fontId="0" fillId="11" borderId="13" xfId="0" applyFill="1" applyBorder="1" applyAlignment="1">
      <alignment horizontal="center" vertical="center"/>
    </xf>
    <xf numFmtId="176" fontId="0" fillId="10" borderId="13" xfId="0" applyNumberForma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13" xfId="0" applyNumberFormat="1" applyFon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48" xfId="0" applyNumberFormat="1" applyFill="1" applyBorder="1" applyAlignment="1">
      <alignment horizontal="center" vertical="center"/>
    </xf>
    <xf numFmtId="176" fontId="7" fillId="10" borderId="8" xfId="0" applyNumberFormat="1" applyFont="1" applyFill="1" applyBorder="1" applyAlignment="1">
      <alignment horizontal="center" vertical="center"/>
    </xf>
    <xf numFmtId="176" fontId="7" fillId="10" borderId="2" xfId="0" applyNumberFormat="1" applyFont="1" applyFill="1" applyBorder="1" applyAlignment="1">
      <alignment horizontal="center" vertical="center"/>
    </xf>
    <xf numFmtId="176" fontId="7" fillId="10" borderId="5" xfId="0" applyNumberFormat="1" applyFont="1" applyFill="1" applyBorder="1" applyAlignment="1">
      <alignment horizontal="center" vertical="center"/>
    </xf>
    <xf numFmtId="176" fontId="0" fillId="10" borderId="8" xfId="0" applyNumberFormat="1" applyFill="1" applyBorder="1" applyAlignment="1">
      <alignment horizontal="center" vertical="center"/>
    </xf>
    <xf numFmtId="176" fontId="0" fillId="10" borderId="2" xfId="0" applyNumberFormat="1" applyFill="1" applyBorder="1" applyAlignment="1">
      <alignment horizontal="center" vertical="center"/>
    </xf>
    <xf numFmtId="176" fontId="0" fillId="10" borderId="5" xfId="0" applyNumberFormat="1" applyFill="1" applyBorder="1" applyAlignment="1">
      <alignment horizontal="center" vertical="center"/>
    </xf>
    <xf numFmtId="0" fontId="0" fillId="9" borderId="35" xfId="0" applyFill="1" applyBorder="1" applyAlignment="1">
      <alignment horizontal="center" vertical="center"/>
    </xf>
    <xf numFmtId="0" fontId="0" fillId="9" borderId="36" xfId="0" applyFill="1" applyBorder="1" applyAlignment="1">
      <alignment horizontal="center" vertical="center"/>
    </xf>
    <xf numFmtId="0" fontId="4" fillId="2" borderId="18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4" fillId="2" borderId="20" xfId="0" applyFont="1" applyFill="1" applyBorder="1" applyAlignment="1">
      <alignment horizontal="center"/>
    </xf>
    <xf numFmtId="176" fontId="0" fillId="10" borderId="47" xfId="0" applyNumberForma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2" xfId="0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9" borderId="34" xfId="0" applyFill="1" applyBorder="1" applyAlignment="1">
      <alignment horizontal="center" vertical="center"/>
    </xf>
    <xf numFmtId="0" fontId="10" fillId="13" borderId="0" xfId="0" applyFont="1" applyFill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colors>
    <mruColors>
      <color rgb="FFDCDA92"/>
      <color rgb="FFFFCCFF"/>
      <color rgb="FF66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6636-847A-47F1-BA3B-A88365FF7E52}">
  <dimension ref="B1:AD45"/>
  <sheetViews>
    <sheetView tabSelected="1" topLeftCell="A7" workbookViewId="0">
      <selection activeCell="M32" sqref="M32"/>
    </sheetView>
  </sheetViews>
  <sheetFormatPr defaultRowHeight="16.5" x14ac:dyDescent="0.3"/>
  <cols>
    <col min="1" max="1" width="3.375" customWidth="1"/>
    <col min="2" max="2" width="5" style="2" customWidth="1"/>
    <col min="3" max="3" width="11.125" customWidth="1"/>
    <col min="4" max="4" width="8.125" customWidth="1"/>
    <col min="5" max="5" width="4.875" customWidth="1"/>
    <col min="6" max="6" width="1.25" customWidth="1"/>
    <col min="7" max="7" width="5.125" customWidth="1"/>
    <col min="8" max="8" width="11.625" customWidth="1"/>
    <col min="9" max="9" width="8.375" customWidth="1"/>
    <col min="10" max="10" width="5.75" customWidth="1"/>
    <col min="11" max="11" width="2.875" customWidth="1"/>
    <col min="12" max="12" width="5.125" customWidth="1"/>
    <col min="13" max="13" width="11.625" customWidth="1"/>
    <col min="14" max="14" width="8.375" customWidth="1"/>
    <col min="15" max="15" width="5.75" customWidth="1"/>
    <col min="16" max="16" width="8.125" customWidth="1"/>
    <col min="17" max="17" width="9.875" customWidth="1"/>
    <col min="18" max="18" width="8.75" customWidth="1"/>
    <col min="19" max="19" width="10.5" customWidth="1"/>
    <col min="20" max="20" width="13.25" customWidth="1"/>
    <col min="21" max="21" width="7.875" customWidth="1"/>
    <col min="22" max="22" width="5.25" bestFit="1" customWidth="1"/>
    <col min="23" max="23" width="1.375" customWidth="1"/>
    <col min="24" max="24" width="2.125" customWidth="1"/>
    <col min="25" max="25" width="10.125" style="2" hidden="1" customWidth="1"/>
    <col min="26" max="26" width="10.5" customWidth="1"/>
    <col min="27" max="27" width="7.75" customWidth="1"/>
    <col min="28" max="28" width="8.75" customWidth="1"/>
    <col min="29" max="29" width="13.75" customWidth="1"/>
    <col min="30" max="30" width="11.25" style="2" customWidth="1"/>
    <col min="31" max="31" width="10.5" customWidth="1"/>
    <col min="32" max="32" width="5.25" bestFit="1" customWidth="1"/>
    <col min="33" max="33" width="1.25" customWidth="1"/>
    <col min="34" max="34" width="10.375" customWidth="1"/>
    <col min="35" max="35" width="7.375" customWidth="1"/>
    <col min="36" max="36" width="9.875" customWidth="1"/>
    <col min="37" max="37" width="11.5" customWidth="1"/>
  </cols>
  <sheetData>
    <row r="1" spans="2:30" ht="15.75" customHeight="1" x14ac:dyDescent="0.3"/>
    <row r="2" spans="2:30" ht="22.5" customHeight="1" x14ac:dyDescent="0.3">
      <c r="B2" s="69" t="s">
        <v>16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Z2" s="49"/>
    </row>
    <row r="3" spans="2:30" ht="8.25" customHeight="1" x14ac:dyDescent="0.3"/>
    <row r="4" spans="2:30" ht="20.25" x14ac:dyDescent="0.3">
      <c r="B4" s="74" t="s">
        <v>37</v>
      </c>
      <c r="C4" s="74"/>
      <c r="D4" s="74"/>
      <c r="E4" s="74"/>
      <c r="F4" s="74"/>
      <c r="G4" s="74"/>
      <c r="H4" s="74"/>
      <c r="I4" s="74"/>
      <c r="J4" s="74"/>
      <c r="K4" s="74"/>
      <c r="L4" s="74"/>
      <c r="M4" s="74"/>
      <c r="N4" s="74"/>
      <c r="O4" s="74"/>
      <c r="P4" s="74"/>
      <c r="Q4" s="74"/>
      <c r="R4" s="74"/>
      <c r="S4" s="74"/>
      <c r="T4" s="74"/>
    </row>
    <row r="5" spans="2:30" ht="6" customHeight="1" thickBot="1" x14ac:dyDescent="0.35"/>
    <row r="6" spans="2:30" ht="21.75" thickTop="1" thickBot="1" x14ac:dyDescent="0.4">
      <c r="B6" s="8" t="s">
        <v>2</v>
      </c>
      <c r="C6" s="13" t="s">
        <v>0</v>
      </c>
      <c r="D6" s="21" t="s">
        <v>1</v>
      </c>
      <c r="E6" s="14" t="s">
        <v>6</v>
      </c>
      <c r="G6" s="8" t="s">
        <v>2</v>
      </c>
      <c r="H6" s="13" t="s">
        <v>0</v>
      </c>
      <c r="I6" s="21" t="s">
        <v>1</v>
      </c>
      <c r="J6" s="14" t="s">
        <v>6</v>
      </c>
      <c r="L6" s="8" t="s">
        <v>2</v>
      </c>
      <c r="M6" s="13" t="s">
        <v>0</v>
      </c>
      <c r="N6" s="21" t="s">
        <v>1</v>
      </c>
      <c r="O6" s="14" t="s">
        <v>6</v>
      </c>
      <c r="Q6" s="65" t="s">
        <v>3</v>
      </c>
      <c r="R6" s="66"/>
      <c r="S6" s="66"/>
      <c r="T6" s="67"/>
      <c r="Y6"/>
      <c r="AD6"/>
    </row>
    <row r="7" spans="2:30" ht="16.5" customHeight="1" x14ac:dyDescent="0.3">
      <c r="B7" s="3">
        <v>1</v>
      </c>
      <c r="C7" s="68" t="s">
        <v>15</v>
      </c>
      <c r="D7" s="31" t="s">
        <v>17</v>
      </c>
      <c r="E7" s="32">
        <v>5</v>
      </c>
      <c r="G7" s="3">
        <v>38</v>
      </c>
      <c r="H7" s="68">
        <v>46034</v>
      </c>
      <c r="I7" s="31" t="s">
        <v>54</v>
      </c>
      <c r="J7" s="32">
        <v>5</v>
      </c>
      <c r="L7" s="3">
        <v>75</v>
      </c>
      <c r="M7" s="56">
        <v>46108</v>
      </c>
      <c r="N7" s="31" t="s">
        <v>93</v>
      </c>
      <c r="O7" s="32">
        <v>5</v>
      </c>
      <c r="Q7" s="42" t="s">
        <v>0</v>
      </c>
      <c r="R7" s="43" t="s">
        <v>13</v>
      </c>
      <c r="S7" s="44" t="s">
        <v>14</v>
      </c>
      <c r="T7" s="45" t="s">
        <v>5</v>
      </c>
      <c r="Y7"/>
      <c r="AD7"/>
    </row>
    <row r="8" spans="2:30" ht="16.5" customHeight="1" x14ac:dyDescent="0.3">
      <c r="B8" s="4">
        <v>2</v>
      </c>
      <c r="C8" s="61"/>
      <c r="D8" s="31" t="s">
        <v>18</v>
      </c>
      <c r="E8" s="32">
        <v>5</v>
      </c>
      <c r="G8" s="3">
        <v>39</v>
      </c>
      <c r="H8" s="61"/>
      <c r="I8" s="31" t="s">
        <v>55</v>
      </c>
      <c r="J8" s="32">
        <v>5</v>
      </c>
      <c r="L8" s="3">
        <v>76</v>
      </c>
      <c r="M8" s="51">
        <v>46109</v>
      </c>
      <c r="N8" s="31" t="s">
        <v>94</v>
      </c>
      <c r="O8" s="32">
        <v>5</v>
      </c>
      <c r="Q8" s="46">
        <v>46020</v>
      </c>
      <c r="R8" s="47" t="s">
        <v>12</v>
      </c>
      <c r="S8" s="44">
        <v>1000</v>
      </c>
      <c r="T8" s="45" t="s">
        <v>11</v>
      </c>
      <c r="Y8"/>
      <c r="AD8"/>
    </row>
    <row r="9" spans="2:30" ht="16.5" customHeight="1" x14ac:dyDescent="0.3">
      <c r="B9" s="3">
        <v>3</v>
      </c>
      <c r="C9" s="61"/>
      <c r="D9" s="33" t="s">
        <v>12</v>
      </c>
      <c r="E9" s="32">
        <v>5</v>
      </c>
      <c r="G9" s="3">
        <v>40</v>
      </c>
      <c r="H9" s="61"/>
      <c r="I9" s="33" t="s">
        <v>56</v>
      </c>
      <c r="J9" s="32">
        <v>5</v>
      </c>
      <c r="L9" s="3">
        <v>77</v>
      </c>
      <c r="M9" s="51">
        <v>46111</v>
      </c>
      <c r="N9" s="33" t="s">
        <v>95</v>
      </c>
      <c r="O9" s="32">
        <v>5</v>
      </c>
      <c r="Q9" s="46">
        <v>46169</v>
      </c>
      <c r="R9" s="48" t="s">
        <v>104</v>
      </c>
      <c r="S9" s="44">
        <v>100</v>
      </c>
      <c r="T9" s="45" t="s">
        <v>105</v>
      </c>
      <c r="Y9"/>
      <c r="AD9"/>
    </row>
    <row r="10" spans="2:30" ht="16.5" customHeight="1" x14ac:dyDescent="0.3">
      <c r="B10" s="3">
        <v>4</v>
      </c>
      <c r="C10" s="62"/>
      <c r="D10" s="34" t="s">
        <v>19</v>
      </c>
      <c r="E10" s="32">
        <v>5</v>
      </c>
      <c r="G10" s="3">
        <v>41</v>
      </c>
      <c r="H10" s="61"/>
      <c r="I10" s="34" t="s">
        <v>57</v>
      </c>
      <c r="J10" s="32">
        <v>5</v>
      </c>
      <c r="L10" s="3">
        <v>78</v>
      </c>
      <c r="M10" s="51">
        <v>46116</v>
      </c>
      <c r="N10" s="34" t="s">
        <v>96</v>
      </c>
      <c r="O10" s="32">
        <v>5</v>
      </c>
      <c r="Q10" s="23">
        <v>46303</v>
      </c>
      <c r="R10" s="24" t="s">
        <v>116</v>
      </c>
      <c r="S10" s="28">
        <v>50</v>
      </c>
      <c r="T10" s="30" t="s">
        <v>105</v>
      </c>
      <c r="Y10"/>
      <c r="AD10"/>
    </row>
    <row r="11" spans="2:30" ht="16.5" customHeight="1" thickBot="1" x14ac:dyDescent="0.35">
      <c r="B11" s="3">
        <v>5</v>
      </c>
      <c r="C11" s="57">
        <v>46023</v>
      </c>
      <c r="D11" s="34" t="s">
        <v>20</v>
      </c>
      <c r="E11" s="32">
        <v>5</v>
      </c>
      <c r="G11" s="3">
        <v>42</v>
      </c>
      <c r="H11" s="61"/>
      <c r="I11" s="34" t="s">
        <v>58</v>
      </c>
      <c r="J11" s="32">
        <v>10</v>
      </c>
      <c r="L11" s="3">
        <v>79</v>
      </c>
      <c r="M11" s="51">
        <v>46117</v>
      </c>
      <c r="N11" s="34" t="s">
        <v>97</v>
      </c>
      <c r="O11" s="32">
        <v>5</v>
      </c>
      <c r="Q11" s="9"/>
      <c r="R11" s="10" t="s">
        <v>4</v>
      </c>
      <c r="S11" s="29">
        <f>SUM(S7:S10)</f>
        <v>1150</v>
      </c>
      <c r="T11" s="11"/>
      <c r="Y11"/>
      <c r="AD11"/>
    </row>
    <row r="12" spans="2:30" ht="16.5" customHeight="1" thickTop="1" thickBot="1" x14ac:dyDescent="0.35">
      <c r="B12" s="3">
        <v>6</v>
      </c>
      <c r="C12" s="58"/>
      <c r="D12" s="34" t="s">
        <v>36</v>
      </c>
      <c r="E12" s="32">
        <v>5</v>
      </c>
      <c r="G12" s="3">
        <v>43</v>
      </c>
      <c r="H12" s="62"/>
      <c r="I12" s="34" t="s">
        <v>59</v>
      </c>
      <c r="J12" s="32">
        <v>5</v>
      </c>
      <c r="L12" s="3">
        <v>80</v>
      </c>
      <c r="M12" s="51">
        <v>46123</v>
      </c>
      <c r="N12" s="34" t="s">
        <v>98</v>
      </c>
      <c r="O12" s="32">
        <v>5</v>
      </c>
      <c r="Y12"/>
      <c r="AD12"/>
    </row>
    <row r="13" spans="2:30" ht="16.5" customHeight="1" thickTop="1" x14ac:dyDescent="0.3">
      <c r="B13" s="5">
        <v>7</v>
      </c>
      <c r="C13" s="58"/>
      <c r="D13" s="34" t="s">
        <v>21</v>
      </c>
      <c r="E13" s="32">
        <v>5</v>
      </c>
      <c r="G13" s="3">
        <v>44</v>
      </c>
      <c r="H13" s="57">
        <v>46035</v>
      </c>
      <c r="I13" s="34" t="s">
        <v>60</v>
      </c>
      <c r="J13" s="32">
        <v>5</v>
      </c>
      <c r="L13" s="3">
        <v>81</v>
      </c>
      <c r="M13" s="51">
        <v>46125</v>
      </c>
      <c r="N13" s="34" t="s">
        <v>99</v>
      </c>
      <c r="O13" s="32">
        <v>5</v>
      </c>
      <c r="Q13" s="70" t="s">
        <v>9</v>
      </c>
      <c r="R13" s="71"/>
      <c r="S13" s="18" t="s">
        <v>14</v>
      </c>
      <c r="T13" s="19" t="s">
        <v>5</v>
      </c>
      <c r="Y13"/>
      <c r="AD13"/>
    </row>
    <row r="14" spans="2:30" ht="16.5" customHeight="1" x14ac:dyDescent="0.3">
      <c r="B14" s="3">
        <v>8</v>
      </c>
      <c r="C14" s="58"/>
      <c r="D14" s="34" t="s">
        <v>22</v>
      </c>
      <c r="E14" s="32">
        <v>5</v>
      </c>
      <c r="G14" s="3">
        <v>45</v>
      </c>
      <c r="H14" s="58"/>
      <c r="I14" s="34" t="s">
        <v>61</v>
      </c>
      <c r="J14" s="32">
        <v>5</v>
      </c>
      <c r="L14" s="3">
        <v>82</v>
      </c>
      <c r="M14" s="51">
        <v>46127</v>
      </c>
      <c r="N14" s="34" t="s">
        <v>100</v>
      </c>
      <c r="O14" s="32">
        <v>5</v>
      </c>
      <c r="Q14" s="72" t="s">
        <v>7</v>
      </c>
      <c r="R14" s="73"/>
      <c r="S14" s="25">
        <f>E44+J44+O44</f>
        <v>497</v>
      </c>
      <c r="T14" s="15"/>
      <c r="Y14"/>
      <c r="AD14"/>
    </row>
    <row r="15" spans="2:30" ht="16.5" customHeight="1" x14ac:dyDescent="0.3">
      <c r="B15" s="4">
        <v>9</v>
      </c>
      <c r="C15" s="58"/>
      <c r="D15" s="34" t="s">
        <v>23</v>
      </c>
      <c r="E15" s="32">
        <v>5</v>
      </c>
      <c r="G15" s="3">
        <v>46</v>
      </c>
      <c r="H15" s="59"/>
      <c r="I15" s="34" t="s">
        <v>62</v>
      </c>
      <c r="J15" s="32">
        <v>5</v>
      </c>
      <c r="L15" s="3">
        <v>83</v>
      </c>
      <c r="M15" s="51">
        <v>46133</v>
      </c>
      <c r="N15" s="34" t="s">
        <v>101</v>
      </c>
      <c r="O15" s="32">
        <v>5</v>
      </c>
      <c r="Q15" s="72" t="s">
        <v>10</v>
      </c>
      <c r="R15" s="73"/>
      <c r="S15" s="26">
        <f>S11</f>
        <v>1150</v>
      </c>
      <c r="T15" s="16"/>
      <c r="Y15"/>
      <c r="AD15"/>
    </row>
    <row r="16" spans="2:30" ht="16.5" customHeight="1" thickBot="1" x14ac:dyDescent="0.35">
      <c r="B16" s="3">
        <v>10</v>
      </c>
      <c r="C16" s="59"/>
      <c r="D16" s="34" t="s">
        <v>24</v>
      </c>
      <c r="E16" s="32">
        <v>5</v>
      </c>
      <c r="G16" s="3">
        <v>47</v>
      </c>
      <c r="H16" s="57">
        <v>46036</v>
      </c>
      <c r="I16" s="34" t="s">
        <v>63</v>
      </c>
      <c r="J16" s="32">
        <v>5</v>
      </c>
      <c r="L16" s="3">
        <v>84</v>
      </c>
      <c r="M16" s="51">
        <v>46143</v>
      </c>
      <c r="N16" s="34" t="s">
        <v>102</v>
      </c>
      <c r="O16" s="32">
        <v>5</v>
      </c>
      <c r="Q16" s="63" t="s">
        <v>8</v>
      </c>
      <c r="R16" s="64"/>
      <c r="S16" s="27">
        <f>SUM(S14:S15)</f>
        <v>1647</v>
      </c>
      <c r="T16" s="17" t="s">
        <v>70</v>
      </c>
      <c r="Y16"/>
      <c r="AD16"/>
    </row>
    <row r="17" spans="2:30" ht="16.5" customHeight="1" thickTop="1" x14ac:dyDescent="0.3">
      <c r="B17" s="3">
        <v>11</v>
      </c>
      <c r="C17" s="57">
        <v>46024</v>
      </c>
      <c r="D17" s="34" t="s">
        <v>25</v>
      </c>
      <c r="E17" s="32">
        <v>5</v>
      </c>
      <c r="G17" s="3">
        <v>48</v>
      </c>
      <c r="H17" s="58"/>
      <c r="I17" s="34" t="s">
        <v>64</v>
      </c>
      <c r="J17" s="32">
        <v>5</v>
      </c>
      <c r="L17" s="3">
        <v>85</v>
      </c>
      <c r="M17" s="51">
        <v>46148</v>
      </c>
      <c r="N17" s="34" t="s">
        <v>103</v>
      </c>
      <c r="O17" s="32">
        <v>5</v>
      </c>
      <c r="Y17"/>
      <c r="AD17"/>
    </row>
    <row r="18" spans="2:30" ht="16.5" customHeight="1" x14ac:dyDescent="0.3">
      <c r="B18" s="3">
        <v>12</v>
      </c>
      <c r="C18" s="58"/>
      <c r="D18" s="34" t="s">
        <v>26</v>
      </c>
      <c r="E18" s="32">
        <v>5</v>
      </c>
      <c r="G18" s="3">
        <v>49</v>
      </c>
      <c r="H18" s="59"/>
      <c r="I18" s="34" t="s">
        <v>65</v>
      </c>
      <c r="J18" s="32">
        <v>5</v>
      </c>
      <c r="L18" s="3">
        <v>86</v>
      </c>
      <c r="M18" s="51">
        <v>46161</v>
      </c>
      <c r="N18" s="34" t="s">
        <v>106</v>
      </c>
      <c r="O18" s="32">
        <v>5</v>
      </c>
      <c r="S18" s="12"/>
      <c r="Y18"/>
      <c r="AD18"/>
    </row>
    <row r="19" spans="2:30" ht="16.5" customHeight="1" x14ac:dyDescent="0.3">
      <c r="B19" s="3">
        <v>13</v>
      </c>
      <c r="C19" s="58"/>
      <c r="D19" s="34" t="s">
        <v>27</v>
      </c>
      <c r="E19" s="32">
        <v>5</v>
      </c>
      <c r="G19" s="3">
        <v>50</v>
      </c>
      <c r="H19" s="57">
        <v>46038</v>
      </c>
      <c r="I19" s="34" t="s">
        <v>66</v>
      </c>
      <c r="J19" s="32">
        <v>5</v>
      </c>
      <c r="L19" s="3">
        <v>87</v>
      </c>
      <c r="M19" s="53">
        <v>46178</v>
      </c>
      <c r="N19" s="34" t="s">
        <v>107</v>
      </c>
      <c r="O19" s="32">
        <v>5</v>
      </c>
      <c r="Q19" s="1">
        <v>46148</v>
      </c>
      <c r="Y19"/>
      <c r="AD19"/>
    </row>
    <row r="20" spans="2:30" ht="16.5" customHeight="1" x14ac:dyDescent="0.3">
      <c r="B20" s="3">
        <v>14</v>
      </c>
      <c r="C20" s="58"/>
      <c r="D20" s="35" t="s">
        <v>28</v>
      </c>
      <c r="E20" s="32">
        <v>10</v>
      </c>
      <c r="G20" s="3">
        <v>51</v>
      </c>
      <c r="H20" s="58"/>
      <c r="I20" s="35" t="s">
        <v>67</v>
      </c>
      <c r="J20" s="32">
        <v>5</v>
      </c>
      <c r="L20" s="3">
        <v>88</v>
      </c>
      <c r="M20" s="53">
        <v>46206</v>
      </c>
      <c r="N20" s="35" t="s">
        <v>108</v>
      </c>
      <c r="O20" s="32">
        <v>5</v>
      </c>
      <c r="Y20"/>
      <c r="AD20"/>
    </row>
    <row r="21" spans="2:30" ht="16.5" customHeight="1" x14ac:dyDescent="0.3">
      <c r="B21" s="3">
        <v>15</v>
      </c>
      <c r="C21" s="59"/>
      <c r="D21" s="35" t="s">
        <v>35</v>
      </c>
      <c r="E21" s="32">
        <v>5</v>
      </c>
      <c r="G21" s="3">
        <v>52</v>
      </c>
      <c r="H21" s="59"/>
      <c r="I21" s="35" t="s">
        <v>68</v>
      </c>
      <c r="J21" s="32">
        <v>3</v>
      </c>
      <c r="L21" s="3">
        <v>89</v>
      </c>
      <c r="M21" s="53">
        <v>46209</v>
      </c>
      <c r="N21" s="35" t="s">
        <v>109</v>
      </c>
      <c r="O21" s="32">
        <v>5</v>
      </c>
      <c r="Y21"/>
      <c r="AD21"/>
    </row>
    <row r="22" spans="2:30" ht="16.5" customHeight="1" x14ac:dyDescent="0.3">
      <c r="B22" s="3">
        <v>16</v>
      </c>
      <c r="C22" s="57">
        <v>46025</v>
      </c>
      <c r="D22" s="35" t="s">
        <v>29</v>
      </c>
      <c r="E22" s="32">
        <v>5</v>
      </c>
      <c r="G22" s="3">
        <v>53</v>
      </c>
      <c r="H22" s="53">
        <v>46043</v>
      </c>
      <c r="I22" s="35" t="s">
        <v>71</v>
      </c>
      <c r="J22" s="32">
        <v>5</v>
      </c>
      <c r="L22" s="3">
        <v>90</v>
      </c>
      <c r="M22" s="53">
        <v>46210</v>
      </c>
      <c r="N22" s="35" t="s">
        <v>110</v>
      </c>
      <c r="O22" s="32">
        <v>5</v>
      </c>
      <c r="Y22"/>
      <c r="AD22"/>
    </row>
    <row r="23" spans="2:30" ht="16.5" customHeight="1" x14ac:dyDescent="0.3">
      <c r="B23" s="3">
        <v>17</v>
      </c>
      <c r="C23" s="58"/>
      <c r="D23" s="35" t="s">
        <v>30</v>
      </c>
      <c r="E23" s="32">
        <v>5</v>
      </c>
      <c r="G23" s="3">
        <v>54</v>
      </c>
      <c r="H23" s="53">
        <v>46045</v>
      </c>
      <c r="I23" s="35" t="s">
        <v>72</v>
      </c>
      <c r="J23" s="32">
        <v>5</v>
      </c>
      <c r="L23" s="3">
        <v>91</v>
      </c>
      <c r="M23" s="53">
        <v>46220</v>
      </c>
      <c r="N23" s="35" t="s">
        <v>111</v>
      </c>
      <c r="O23" s="32">
        <v>5</v>
      </c>
      <c r="V23" s="7"/>
      <c r="Y23"/>
      <c r="AD23"/>
    </row>
    <row r="24" spans="2:30" ht="16.5" customHeight="1" x14ac:dyDescent="0.3">
      <c r="B24" s="3">
        <v>18</v>
      </c>
      <c r="C24" s="58"/>
      <c r="D24" s="35" t="s">
        <v>31</v>
      </c>
      <c r="E24" s="32">
        <v>5</v>
      </c>
      <c r="G24" s="3">
        <v>55</v>
      </c>
      <c r="H24" s="53">
        <v>46048</v>
      </c>
      <c r="I24" s="35" t="s">
        <v>73</v>
      </c>
      <c r="J24" s="32">
        <v>5</v>
      </c>
      <c r="L24" s="3">
        <v>92</v>
      </c>
      <c r="M24" s="53">
        <v>46223</v>
      </c>
      <c r="N24" s="35" t="s">
        <v>112</v>
      </c>
      <c r="O24" s="32">
        <v>5</v>
      </c>
      <c r="Y24"/>
      <c r="AD24"/>
    </row>
    <row r="25" spans="2:30" ht="16.5" customHeight="1" x14ac:dyDescent="0.3">
      <c r="B25" s="3">
        <v>19</v>
      </c>
      <c r="C25" s="58"/>
      <c r="D25" s="35" t="s">
        <v>32</v>
      </c>
      <c r="E25" s="32">
        <v>5</v>
      </c>
      <c r="G25" s="3">
        <v>56</v>
      </c>
      <c r="H25" s="52">
        <v>46054</v>
      </c>
      <c r="I25" s="35" t="s">
        <v>74</v>
      </c>
      <c r="J25" s="32">
        <v>5</v>
      </c>
      <c r="L25" s="3">
        <v>93</v>
      </c>
      <c r="M25" s="52">
        <v>46225</v>
      </c>
      <c r="N25" s="35" t="s">
        <v>113</v>
      </c>
      <c r="O25" s="32">
        <v>5</v>
      </c>
      <c r="Y25"/>
      <c r="AD25"/>
    </row>
    <row r="26" spans="2:30" ht="16.5" customHeight="1" x14ac:dyDescent="0.3">
      <c r="B26" s="3">
        <v>20</v>
      </c>
      <c r="C26" s="58"/>
      <c r="D26" s="34" t="s">
        <v>33</v>
      </c>
      <c r="E26" s="32">
        <v>5</v>
      </c>
      <c r="G26" s="3">
        <v>57</v>
      </c>
      <c r="H26" s="57">
        <v>46056</v>
      </c>
      <c r="I26" s="34" t="s">
        <v>75</v>
      </c>
      <c r="J26" s="32">
        <v>5</v>
      </c>
      <c r="L26" s="3">
        <v>94</v>
      </c>
      <c r="M26" s="57">
        <v>46235</v>
      </c>
      <c r="N26" s="34" t="s">
        <v>114</v>
      </c>
      <c r="O26" s="32">
        <v>5</v>
      </c>
      <c r="Y26"/>
      <c r="AD26"/>
    </row>
    <row r="27" spans="2:30" ht="16.5" customHeight="1" x14ac:dyDescent="0.3">
      <c r="B27" s="3">
        <v>21</v>
      </c>
      <c r="C27" s="59"/>
      <c r="D27" s="34" t="s">
        <v>34</v>
      </c>
      <c r="E27" s="36">
        <v>5</v>
      </c>
      <c r="G27" s="3">
        <v>58</v>
      </c>
      <c r="H27" s="58"/>
      <c r="I27" s="34" t="s">
        <v>76</v>
      </c>
      <c r="J27" s="36">
        <v>5</v>
      </c>
      <c r="L27" s="3">
        <v>95</v>
      </c>
      <c r="M27" s="59"/>
      <c r="N27" s="34" t="s">
        <v>115</v>
      </c>
      <c r="O27" s="36">
        <v>5</v>
      </c>
      <c r="Y27"/>
      <c r="AD27"/>
    </row>
    <row r="28" spans="2:30" ht="16.5" customHeight="1" x14ac:dyDescent="0.3">
      <c r="B28" s="3">
        <v>22</v>
      </c>
      <c r="C28" s="51">
        <v>46026</v>
      </c>
      <c r="D28" s="34" t="s">
        <v>38</v>
      </c>
      <c r="E28" s="36">
        <v>3</v>
      </c>
      <c r="G28" s="3">
        <v>59</v>
      </c>
      <c r="H28" s="51">
        <v>46059</v>
      </c>
      <c r="I28" s="34" t="s">
        <v>77</v>
      </c>
      <c r="J28" s="36">
        <v>5</v>
      </c>
      <c r="L28" s="3">
        <v>96</v>
      </c>
      <c r="M28" s="53">
        <v>46272</v>
      </c>
      <c r="N28" s="34" t="s">
        <v>117</v>
      </c>
      <c r="O28" s="36">
        <v>5</v>
      </c>
      <c r="Y28"/>
      <c r="AD28"/>
    </row>
    <row r="29" spans="2:30" ht="16.5" customHeight="1" x14ac:dyDescent="0.3">
      <c r="B29" s="5">
        <v>23</v>
      </c>
      <c r="C29" s="60">
        <v>46027</v>
      </c>
      <c r="D29" s="37" t="s">
        <v>39</v>
      </c>
      <c r="E29" s="36">
        <v>5</v>
      </c>
      <c r="G29" s="3">
        <v>60</v>
      </c>
      <c r="H29" s="51">
        <v>46060</v>
      </c>
      <c r="I29" s="37" t="s">
        <v>78</v>
      </c>
      <c r="J29" s="36">
        <v>5</v>
      </c>
      <c r="L29" s="3">
        <v>97</v>
      </c>
      <c r="M29" s="53">
        <v>46310</v>
      </c>
      <c r="N29" s="37" t="s">
        <v>118</v>
      </c>
      <c r="O29" s="36">
        <v>5</v>
      </c>
      <c r="Y29"/>
      <c r="AD29"/>
    </row>
    <row r="30" spans="2:30" ht="16.5" customHeight="1" x14ac:dyDescent="0.3">
      <c r="B30" s="3">
        <v>24</v>
      </c>
      <c r="C30" s="61"/>
      <c r="D30" s="37" t="s">
        <v>40</v>
      </c>
      <c r="E30" s="36">
        <v>5</v>
      </c>
      <c r="G30" s="3">
        <v>61</v>
      </c>
      <c r="H30" s="51">
        <v>46061</v>
      </c>
      <c r="I30" s="37" t="s">
        <v>79</v>
      </c>
      <c r="J30" s="36">
        <v>5</v>
      </c>
      <c r="L30" s="3">
        <v>98</v>
      </c>
      <c r="M30" s="53">
        <v>46311</v>
      </c>
      <c r="N30" s="37" t="s">
        <v>119</v>
      </c>
      <c r="O30" s="36">
        <v>5</v>
      </c>
      <c r="Y30"/>
      <c r="AD30"/>
    </row>
    <row r="31" spans="2:30" ht="16.5" customHeight="1" x14ac:dyDescent="0.3">
      <c r="B31" s="3">
        <v>25</v>
      </c>
      <c r="C31" s="61"/>
      <c r="D31" s="37" t="s">
        <v>41</v>
      </c>
      <c r="E31" s="36">
        <v>5</v>
      </c>
      <c r="G31" s="3">
        <v>62</v>
      </c>
      <c r="H31" s="51">
        <v>46066</v>
      </c>
      <c r="I31" s="37" t="s">
        <v>80</v>
      </c>
      <c r="J31" s="36">
        <v>5</v>
      </c>
      <c r="L31" s="3">
        <v>99</v>
      </c>
      <c r="M31" s="53">
        <v>46317</v>
      </c>
      <c r="N31" s="37" t="s">
        <v>120</v>
      </c>
      <c r="O31" s="36">
        <v>5</v>
      </c>
      <c r="Y31"/>
      <c r="AD31"/>
    </row>
    <row r="32" spans="2:30" ht="16.5" customHeight="1" x14ac:dyDescent="0.3">
      <c r="B32" s="3">
        <v>26</v>
      </c>
      <c r="C32" s="61"/>
      <c r="D32" s="37" t="s">
        <v>42</v>
      </c>
      <c r="E32" s="36">
        <v>5</v>
      </c>
      <c r="G32" s="3">
        <v>63</v>
      </c>
      <c r="H32" s="51">
        <v>46072</v>
      </c>
      <c r="I32" s="37" t="s">
        <v>81</v>
      </c>
      <c r="J32" s="36">
        <v>5</v>
      </c>
      <c r="L32" s="3">
        <v>100</v>
      </c>
      <c r="M32" s="53"/>
      <c r="N32" s="37"/>
      <c r="O32" s="36"/>
      <c r="Y32"/>
      <c r="AD32"/>
    </row>
    <row r="33" spans="2:30" ht="16.5" customHeight="1" x14ac:dyDescent="0.3">
      <c r="B33" s="3">
        <v>27</v>
      </c>
      <c r="C33" s="61"/>
      <c r="D33" s="34" t="s">
        <v>43</v>
      </c>
      <c r="E33" s="36">
        <v>5</v>
      </c>
      <c r="G33" s="3">
        <v>64</v>
      </c>
      <c r="H33" s="60">
        <v>46073</v>
      </c>
      <c r="I33" s="34" t="s">
        <v>82</v>
      </c>
      <c r="J33" s="36">
        <v>5</v>
      </c>
      <c r="L33" s="3">
        <v>101</v>
      </c>
      <c r="M33" s="53"/>
      <c r="N33" s="34"/>
      <c r="O33" s="36"/>
      <c r="Y33"/>
      <c r="AD33"/>
    </row>
    <row r="34" spans="2:30" ht="16.5" customHeight="1" x14ac:dyDescent="0.3">
      <c r="B34" s="3">
        <v>28</v>
      </c>
      <c r="C34" s="61"/>
      <c r="D34" s="37" t="s">
        <v>44</v>
      </c>
      <c r="E34" s="36">
        <v>5</v>
      </c>
      <c r="G34" s="3">
        <v>65</v>
      </c>
      <c r="H34" s="61"/>
      <c r="I34" s="37" t="s">
        <v>83</v>
      </c>
      <c r="J34" s="36">
        <v>5</v>
      </c>
      <c r="L34" s="3">
        <v>102</v>
      </c>
      <c r="M34" s="53"/>
      <c r="N34" s="37"/>
      <c r="O34" s="36"/>
      <c r="Y34"/>
      <c r="AD34"/>
    </row>
    <row r="35" spans="2:30" ht="16.5" customHeight="1" x14ac:dyDescent="0.3">
      <c r="B35" s="3">
        <v>29</v>
      </c>
      <c r="C35" s="62"/>
      <c r="D35" s="37" t="s">
        <v>45</v>
      </c>
      <c r="E35" s="36">
        <v>3</v>
      </c>
      <c r="F35" s="1"/>
      <c r="G35" s="3">
        <v>66</v>
      </c>
      <c r="H35" s="61"/>
      <c r="I35" s="37" t="s">
        <v>84</v>
      </c>
      <c r="J35" s="36">
        <v>5</v>
      </c>
      <c r="L35" s="3">
        <v>103</v>
      </c>
      <c r="M35" s="53"/>
      <c r="N35" s="37"/>
      <c r="O35" s="36"/>
      <c r="Y35"/>
      <c r="AD35"/>
    </row>
    <row r="36" spans="2:30" ht="16.5" customHeight="1" thickBot="1" x14ac:dyDescent="0.35">
      <c r="B36" s="6">
        <v>30</v>
      </c>
      <c r="C36" s="60">
        <v>46028</v>
      </c>
      <c r="D36" s="37" t="s">
        <v>46</v>
      </c>
      <c r="E36" s="36">
        <v>5</v>
      </c>
      <c r="G36" s="3">
        <v>67</v>
      </c>
      <c r="H36" s="61"/>
      <c r="I36" s="37" t="s">
        <v>85</v>
      </c>
      <c r="J36" s="36">
        <v>5</v>
      </c>
      <c r="L36" s="3">
        <v>104</v>
      </c>
      <c r="M36" s="53"/>
      <c r="N36" s="37"/>
      <c r="O36" s="36"/>
      <c r="Y36"/>
      <c r="AD36"/>
    </row>
    <row r="37" spans="2:30" ht="16.5" customHeight="1" x14ac:dyDescent="0.3">
      <c r="B37" s="3">
        <v>31</v>
      </c>
      <c r="C37" s="61"/>
      <c r="D37" s="50" t="s">
        <v>47</v>
      </c>
      <c r="E37" s="36">
        <v>5</v>
      </c>
      <c r="G37" s="3">
        <v>68</v>
      </c>
      <c r="H37" s="51">
        <v>46078</v>
      </c>
      <c r="I37" s="50" t="s">
        <v>86</v>
      </c>
      <c r="J37" s="36">
        <v>5</v>
      </c>
      <c r="L37" s="3">
        <v>105</v>
      </c>
      <c r="M37" s="51"/>
      <c r="N37" s="50"/>
      <c r="O37" s="36"/>
      <c r="Y37"/>
      <c r="AD37"/>
    </row>
    <row r="38" spans="2:30" ht="16.5" customHeight="1" x14ac:dyDescent="0.3">
      <c r="B38" s="3">
        <v>32</v>
      </c>
      <c r="C38" s="61"/>
      <c r="D38" s="41" t="s">
        <v>48</v>
      </c>
      <c r="E38" s="36">
        <v>5</v>
      </c>
      <c r="G38" s="3">
        <v>69</v>
      </c>
      <c r="H38" s="51">
        <v>46081</v>
      </c>
      <c r="I38" s="41" t="s">
        <v>87</v>
      </c>
      <c r="J38" s="36">
        <v>5</v>
      </c>
      <c r="K38" s="2"/>
      <c r="L38" s="3">
        <v>106</v>
      </c>
      <c r="M38" s="51"/>
      <c r="N38" s="41"/>
      <c r="O38" s="36"/>
      <c r="P38" s="2"/>
      <c r="U38" s="2"/>
      <c r="Y38"/>
      <c r="AD38"/>
    </row>
    <row r="39" spans="2:30" ht="16.5" customHeight="1" x14ac:dyDescent="0.3">
      <c r="B39" s="3">
        <v>33</v>
      </c>
      <c r="C39" s="61"/>
      <c r="D39" s="41" t="s">
        <v>49</v>
      </c>
      <c r="E39" s="36">
        <v>5</v>
      </c>
      <c r="F39" s="22"/>
      <c r="G39" s="3">
        <v>70</v>
      </c>
      <c r="H39" s="51">
        <v>46085</v>
      </c>
      <c r="I39" s="41" t="s">
        <v>88</v>
      </c>
      <c r="J39" s="36">
        <v>5</v>
      </c>
      <c r="K39" s="2"/>
      <c r="L39" s="3">
        <v>107</v>
      </c>
      <c r="M39" s="51"/>
      <c r="N39" s="41"/>
      <c r="O39" s="36"/>
      <c r="P39" s="2"/>
      <c r="U39" s="2"/>
      <c r="Y39"/>
      <c r="AD39"/>
    </row>
    <row r="40" spans="2:30" ht="16.5" customHeight="1" x14ac:dyDescent="0.3">
      <c r="B40" s="3">
        <v>34</v>
      </c>
      <c r="C40" s="61"/>
      <c r="D40" s="41" t="s">
        <v>50</v>
      </c>
      <c r="E40" s="36">
        <v>3</v>
      </c>
      <c r="G40" s="3">
        <v>71</v>
      </c>
      <c r="H40" s="51">
        <v>46089</v>
      </c>
      <c r="I40" s="41" t="s">
        <v>89</v>
      </c>
      <c r="J40" s="36">
        <v>5</v>
      </c>
      <c r="K40" s="2"/>
      <c r="L40" s="3">
        <v>108</v>
      </c>
      <c r="M40" s="51"/>
      <c r="N40" s="41"/>
      <c r="O40" s="36"/>
      <c r="P40" s="2"/>
      <c r="U40" s="2"/>
      <c r="Y40"/>
      <c r="AD40"/>
    </row>
    <row r="41" spans="2:30" ht="16.5" customHeight="1" x14ac:dyDescent="0.3">
      <c r="B41" s="3">
        <v>35</v>
      </c>
      <c r="C41" s="62"/>
      <c r="D41" s="41" t="s">
        <v>51</v>
      </c>
      <c r="E41" s="36">
        <v>5</v>
      </c>
      <c r="G41" s="3">
        <v>72</v>
      </c>
      <c r="H41" s="54">
        <v>46093</v>
      </c>
      <c r="I41" s="41" t="s">
        <v>90</v>
      </c>
      <c r="J41" s="36">
        <v>5</v>
      </c>
      <c r="K41" s="2"/>
      <c r="L41" s="3">
        <v>109</v>
      </c>
      <c r="M41" s="54"/>
      <c r="N41" s="41"/>
      <c r="O41" s="36"/>
      <c r="P41" s="2"/>
      <c r="U41" s="2"/>
      <c r="Y41"/>
      <c r="AD41"/>
    </row>
    <row r="42" spans="2:30" ht="16.5" customHeight="1" x14ac:dyDescent="0.3">
      <c r="B42" s="3">
        <v>36</v>
      </c>
      <c r="C42" s="60">
        <v>46029</v>
      </c>
      <c r="D42" s="35" t="s">
        <v>52</v>
      </c>
      <c r="E42" s="36">
        <v>5</v>
      </c>
      <c r="G42" s="3">
        <v>73</v>
      </c>
      <c r="H42" s="51">
        <v>46097</v>
      </c>
      <c r="I42" s="35" t="s">
        <v>91</v>
      </c>
      <c r="J42" s="36">
        <v>5</v>
      </c>
      <c r="K42" s="2"/>
      <c r="L42" s="3">
        <v>110</v>
      </c>
      <c r="M42" s="51"/>
      <c r="N42" s="35"/>
      <c r="O42" s="36"/>
      <c r="P42" s="2"/>
      <c r="U42" s="2"/>
      <c r="Y42"/>
      <c r="AD42"/>
    </row>
    <row r="43" spans="2:30" ht="16.5" customHeight="1" thickBot="1" x14ac:dyDescent="0.35">
      <c r="B43" s="4">
        <v>37</v>
      </c>
      <c r="C43" s="61"/>
      <c r="D43" s="35" t="s">
        <v>53</v>
      </c>
      <c r="E43" s="36">
        <v>5</v>
      </c>
      <c r="G43" s="3">
        <v>74</v>
      </c>
      <c r="H43" s="55">
        <v>46099</v>
      </c>
      <c r="I43" s="35" t="s">
        <v>92</v>
      </c>
      <c r="J43" s="36">
        <v>5</v>
      </c>
      <c r="K43" s="2"/>
      <c r="L43" s="3">
        <v>111</v>
      </c>
      <c r="M43" s="55"/>
      <c r="N43" s="35"/>
      <c r="O43" s="36"/>
      <c r="P43" s="2"/>
      <c r="U43" s="2"/>
      <c r="Y43"/>
      <c r="AD43"/>
    </row>
    <row r="44" spans="2:30" ht="16.5" customHeight="1" thickBot="1" x14ac:dyDescent="0.35">
      <c r="B44" s="20"/>
      <c r="C44" s="38" t="s">
        <v>69</v>
      </c>
      <c r="D44" s="39"/>
      <c r="E44" s="40">
        <f>SUM(E7:E43)</f>
        <v>184</v>
      </c>
      <c r="G44" s="20"/>
      <c r="H44" s="38" t="s">
        <v>69</v>
      </c>
      <c r="I44" s="39"/>
      <c r="J44" s="40">
        <f>SUM(J7:J43)</f>
        <v>188</v>
      </c>
      <c r="K44" s="2"/>
      <c r="L44" s="20"/>
      <c r="M44" s="38" t="s">
        <v>69</v>
      </c>
      <c r="N44" s="39"/>
      <c r="O44" s="40">
        <f>SUM(O7:O43)</f>
        <v>125</v>
      </c>
      <c r="P44" s="2"/>
      <c r="U44" s="2"/>
      <c r="Y44"/>
      <c r="AD44"/>
    </row>
    <row r="45" spans="2:30" ht="17.25" thickTop="1" x14ac:dyDescent="0.3"/>
  </sheetData>
  <mergeCells count="21">
    <mergeCell ref="Q6:T6"/>
    <mergeCell ref="C7:C10"/>
    <mergeCell ref="C11:C16"/>
    <mergeCell ref="C17:C21"/>
    <mergeCell ref="B2:T2"/>
    <mergeCell ref="Q13:R13"/>
    <mergeCell ref="Q14:R14"/>
    <mergeCell ref="Q15:R15"/>
    <mergeCell ref="H7:H12"/>
    <mergeCell ref="H13:H15"/>
    <mergeCell ref="H16:H18"/>
    <mergeCell ref="B4:T4"/>
    <mergeCell ref="C22:C27"/>
    <mergeCell ref="C29:C35"/>
    <mergeCell ref="C36:C41"/>
    <mergeCell ref="C42:C43"/>
    <mergeCell ref="Q16:R16"/>
    <mergeCell ref="H19:H21"/>
    <mergeCell ref="H26:H27"/>
    <mergeCell ref="H33:H36"/>
    <mergeCell ref="M26:M27"/>
  </mergeCells>
  <phoneticPr fontId="8" type="noConversion"/>
  <pageMargins left="0.7" right="0.7" top="0.75" bottom="0.75" header="0.3" footer="0.3"/>
  <pageSetup paperSize="9" orientation="portrait" horizontalDpi="1200" verticalDpi="1200" r:id="rId1"/>
  <picture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tb19</dc:creator>
  <cp:lastModifiedBy>Insung Kang</cp:lastModifiedBy>
  <dcterms:created xsi:type="dcterms:W3CDTF">2024-01-05T10:58:49Z</dcterms:created>
  <dcterms:modified xsi:type="dcterms:W3CDTF">2026-10-23T16:50:15Z</dcterms:modified>
</cp:coreProperties>
</file>